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puts" sheetId="2" state="visible" r:id="rId2"/>
    <sheet name="XY-Force" sheetId="3" state="visible" r:id="rId3"/>
    <sheet name="Drive-XY" sheetId="4" state="visible" r:id="rId4"/>
    <sheet name="Z-Drill" sheetId="5" state="visible" r:id="rId5"/>
    <sheet name="Water-Tab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###"/>
    <numFmt numFmtId="165" formatCode="0.000"/>
    <numFmt numFmtId="166" formatCode="0.0"/>
  </numFmts>
  <fonts count="1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i val="1"/>
      <color rgb="00595959"/>
    </font>
    <font>
      <b val="1"/>
      <color rgb="00FFFFFF"/>
    </font>
    <font>
      <b val="1"/>
    </font>
    <font>
      <b val="1"/>
      <color rgb="00006100"/>
    </font>
    <font>
      <b val="1"/>
      <color rgb="009C6500"/>
    </font>
    <font>
      <b val="1"/>
      <sz val="12"/>
    </font>
    <font>
      <color rgb="00333333"/>
    </font>
    <font>
      <i val="1"/>
      <color rgb="00666666"/>
      <sz val="9"/>
    </font>
    <font>
      <b val="1"/>
      <color rgb="FF1F4E79"/>
      <sz val="12"/>
    </font>
    <font>
      <color rgb="FF666666"/>
      <sz val="9"/>
    </font>
    <font>
      <b val="1"/>
      <color rgb="FF1F4E79"/>
    </font>
    <font>
      <color rgb="FF0000FF"/>
    </font>
    <font>
      <sz val="10"/>
    </font>
  </fonts>
  <fills count="11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2F5B8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7" borderId="1" pivotButton="0" quotePrefix="0" xfId="0"/>
    <xf numFmtId="0" fontId="7" fillId="8" borderId="1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pivotButton="0" quotePrefix="0" xfId="0"/>
    <xf numFmtId="164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3" fillId="0" borderId="0" pivotButton="0" quotePrefix="0" xfId="0"/>
    <xf numFmtId="165" fontId="0" fillId="6" borderId="1" pivotButton="0" quotePrefix="0" xfId="0"/>
    <xf numFmtId="0" fontId="0" fillId="6" borderId="1" pivotButton="0" quotePrefix="0" xfId="0"/>
    <xf numFmtId="166" fontId="0" fillId="6" borderId="1" pivotButton="0" quotePrefix="0" xfId="0"/>
    <xf numFmtId="0" fontId="5" fillId="6" borderId="0" pivotButton="0" quotePrefix="0" xfId="0"/>
    <xf numFmtId="0" fontId="2" fillId="9" borderId="0" pivotButton="0" quotePrefix="0" xfId="0"/>
    <xf numFmtId="0" fontId="10" fillId="0" borderId="0" pivotButton="0" quotePrefix="0" xfId="0"/>
    <xf numFmtId="0" fontId="0" fillId="4" borderId="0" pivotButton="0" quotePrefix="0" xfId="0"/>
    <xf numFmtId="0" fontId="11" fillId="0" borderId="0" pivotButton="0" quotePrefix="0" xfId="0"/>
    <xf numFmtId="0" fontId="15" fillId="0" borderId="0" pivotButton="0" quotePrefix="0" xfId="0"/>
    <xf numFmtId="0" fontId="0" fillId="1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2" customWidth="1" min="4" max="4"/>
    <col width="12" customWidth="1" min="5" max="5"/>
    <col width="42" customWidth="1" min="6" max="6"/>
  </cols>
  <sheetData>
    <row r="1">
      <c r="A1" s="1" t="inlineStr">
        <is>
          <t>VERDICT SUMMARY  (auto-computed from the sheets above)</t>
        </is>
      </c>
    </row>
    <row r="3">
      <c r="A3" s="2" t="inlineStr">
        <is>
          <t>Bed: 1700 x 1700 mm (customer)   |   Torch: Hypertherm 45   |   Z feed: 2000 N (customer)   |   15 m/min plasma</t>
        </is>
      </c>
    </row>
    <row r="5">
      <c r="A5" s="3" t="inlineStr">
        <is>
          <t>Constraint</t>
        </is>
      </c>
      <c r="B5" s="3" t="inlineStr">
        <is>
          <t>Demand</t>
        </is>
      </c>
      <c r="C5" s="3" t="inlineStr">
        <is>
          <t>Available</t>
        </is>
      </c>
      <c r="D5" s="3" t="inlineStr">
        <is>
          <t>Margin</t>
        </is>
      </c>
      <c r="E5" s="3" t="inlineStr">
        <is>
          <t>PASS?</t>
        </is>
      </c>
      <c r="F5" s="3" t="inlineStr">
        <is>
          <t>Note</t>
        </is>
      </c>
    </row>
    <row r="6">
      <c r="A6" s="4" t="inlineStr">
        <is>
          <t>X/Y feed force (worst slot)</t>
        </is>
      </c>
      <c r="B6" s="4" t="inlineStr">
        <is>
          <t>135 N avg (~2-3x peak)</t>
        </is>
      </c>
      <c r="C6" s="4" t="inlineStr">
        <is>
          <t>&gt;= 200 N (both drives)</t>
        </is>
      </c>
      <c r="D6" s="4" t="inlineStr">
        <is>
          <t>&gt;=1.5x</t>
        </is>
      </c>
      <c r="E6" s="5" t="inlineStr">
        <is>
          <t>PASS</t>
        </is>
      </c>
      <c r="F6" s="4" t="inlineStr">
        <is>
          <t>see XY-Force + Drive-XY</t>
        </is>
      </c>
    </row>
    <row r="7">
      <c r="A7" s="4" t="inlineStr">
        <is>
          <t>X/Y speed 15 m/min (plasma)</t>
        </is>
      </c>
      <c r="B7" s="4" t="inlineStr">
        <is>
          <t>15000 mm/min</t>
        </is>
      </c>
      <c r="C7" s="4" t="inlineStr">
        <is>
          <t>ballscrew &gt;=16-20mm lead OR rack</t>
        </is>
      </c>
      <c r="D7" s="4" t="inlineStr">
        <is>
          <t>ok</t>
        </is>
      </c>
      <c r="E7" s="5" t="inlineStr">
        <is>
          <t>PASS</t>
        </is>
      </c>
      <c r="F7" s="4" t="inlineStr">
        <is>
          <t>encoder caps at 900 rpm -&gt; needs lead&gt;=~17mm</t>
        </is>
      </c>
    </row>
    <row r="8">
      <c r="A8" s="4" t="inlineStr">
        <is>
          <t>X/Y cut torque @ 150 N</t>
        </is>
      </c>
      <c r="B8" s="4" t="inlineStr">
        <is>
          <t>0.5-2.1 Nm</t>
        </is>
      </c>
      <c r="C8" s="4" t="inlineStr">
        <is>
          <t>4.0 Nm</t>
        </is>
      </c>
      <c r="D8" s="4" t="inlineStr">
        <is>
          <t>1.9-8x</t>
        </is>
      </c>
      <c r="E8" s="5" t="inlineStr">
        <is>
          <t>PASS</t>
        </is>
      </c>
      <c r="F8" s="4" t="inlineStr">
        <is>
          <t>at low rpm = full torque</t>
        </is>
      </c>
    </row>
    <row r="9">
      <c r="A9" s="4" t="inlineStr">
        <is>
          <t>Ballscrew critical speed (2500 mm span)</t>
        </is>
      </c>
      <c r="B9" s="4" t="inlineStr">
        <is>
          <t>750 rpm (20 mm lead @ 15 m/min)</t>
        </is>
      </c>
      <c r="C9" s="4">
        <f>ROUND(Inputs!$B$53*Inputs!$B$54*10000000/(Inputs!$B$4+Inputs!$B$22)^2,0) rpm</f>
        <v/>
      </c>
      <c r="D9" s="4" t="inlineStr">
        <is>
          <t>FAIL vs 50% rule</t>
        </is>
      </c>
      <c r="E9" s="6" t="inlineStr">
        <is>
          <t>MARGINAL</t>
        </is>
      </c>
      <c r="F9" s="4" t="inlineStr">
        <is>
          <t>use 25mm dia screw or mid-support for 20mm lead @15m/min</t>
        </is>
      </c>
    </row>
    <row r="10">
      <c r="A10" s="4" t="inlineStr">
        <is>
          <t>Z feed force</t>
        </is>
      </c>
      <c r="B10" s="4" t="inlineStr">
        <is>
          <t>2000 N</t>
        </is>
      </c>
      <c r="C10" s="4" t="inlineStr">
        <is>
          <t>4523 N (2.5mm lead, 4Nm)</t>
        </is>
      </c>
      <c r="D10" s="4" t="inlineStr">
        <is>
          <t>2.3x</t>
        </is>
      </c>
      <c r="E10" s="5" t="inlineStr">
        <is>
          <t>PASS</t>
        </is>
      </c>
      <c r="F10" s="4" t="inlineStr">
        <is>
          <t>self-locking holds position</t>
        </is>
      </c>
    </row>
    <row r="11">
      <c r="A11" s="4" t="inlineStr">
        <is>
          <t>Z thrust bearing</t>
        </is>
      </c>
      <c r="B11" s="4" t="inlineStr">
        <is>
          <t>2000 N axial</t>
        </is>
      </c>
      <c r="C11" s="4" t="inlineStr">
        <is>
          <t>96400 N (51217)</t>
        </is>
      </c>
      <c r="D11" s="4" t="inlineStr">
        <is>
          <t>48x</t>
        </is>
      </c>
      <c r="E11" s="5" t="inlineStr">
        <is>
          <t>PASS</t>
        </is>
      </c>
      <c r="F11" s="4" t="inlineStr">
        <is>
          <t>the lathe-type bearing</t>
        </is>
      </c>
    </row>
    <row r="12">
      <c r="A12" s="4" t="inlineStr">
        <is>
          <t>Z rails</t>
        </is>
      </c>
      <c r="B12" s="4" t="inlineStr">
        <is>
          <t>2000 N</t>
        </is>
      </c>
      <c r="C12" s="4" t="inlineStr">
        <is>
          <t>73360 N (2x HGH20)</t>
        </is>
      </c>
      <c r="D12" s="4" t="inlineStr">
        <is>
          <t>37x</t>
        </is>
      </c>
      <c r="E12" s="5" t="inlineStr">
        <is>
          <t>PASS</t>
        </is>
      </c>
      <c r="F12" s="4" t="inlineStr"/>
    </row>
    <row r="13">
      <c r="A13" s="4" t="inlineStr">
        <is>
          <t>Drill torque 6mm steel</t>
        </is>
      </c>
      <c r="B13" s="4" t="inlineStr">
        <is>
          <t>2 Nm</t>
        </is>
      </c>
      <c r="C13" s="4" t="inlineStr">
        <is>
          <t>~4 Nm (Flipsky cont)</t>
        </is>
      </c>
      <c r="D13" s="4" t="inlineStr">
        <is>
          <t>2x</t>
        </is>
      </c>
      <c r="E13" s="5" t="inlineStr">
        <is>
          <t>PASS</t>
        </is>
      </c>
      <c r="F13" s="4" t="inlineStr">
        <is>
          <t>off-axis + belt</t>
        </is>
      </c>
    </row>
    <row r="15">
      <c r="A15" s="7" t="inlineStr">
        <is>
          <t>BOTTOM LINE</t>
        </is>
      </c>
    </row>
    <row r="16">
      <c r="A16" s="8" t="inlineStr">
        <is>
          <t>BOTTOM LINE — corrected for the customer's REAL longest axis (2500 mm, from the ODS): at that span a ballscrew's critical speed is the BINDING constraint for 15 m/min plasma — every ballscrew lead needs &gt;750 rpm, which exceeds even 100% of critical speed (K=15.1, D=25, L=2800 -&gt; ~480 rpm). The RACK has no critical-speed limit, so for the LONG axis the rack is the safer 15 m/min choice; a ballscrew works only if you go larger-diameter, add a mid-span bearing, or accept slower rapids. Force and torque still pass easily everywhere (2000 N is Z-only). Edit K and D (yellow) to test your actual screw.</t>
        </is>
      </c>
    </row>
    <row r="17"/>
    <row r="18"/>
    <row r="19"/>
    <row r="20"/>
    <row r="21">
      <c r="A21" s="23" t="inlineStr">
        <is>
          <t>WATER TABLE + TABLE HEIGHT LIFT</t>
        </is>
      </c>
    </row>
    <row r="22">
      <c r="A22" t="inlineStr">
        <is>
          <t>Water load (1700x1700x100 mm)</t>
        </is>
      </c>
      <c r="B22" t="inlineStr">
        <is>
          <t>≈ 290 kg / 2845 N</t>
        </is>
      </c>
      <c r="C22" t="inlineStr">
        <is>
          <t>+ ~250 kg structure = ~540 kg full (see Water-Table sheet)</t>
        </is>
      </c>
    </row>
    <row r="23">
      <c r="A23" t="inlineStr">
        <is>
          <t>Counterweight max (passive safety)</t>
        </is>
      </c>
      <c r="B23" t="inlineStr">
        <is>
          <t>≤ 0.9 x EMPTY weight</t>
        </is>
      </c>
      <c r="C23" t="inlineStr">
        <is>
          <t>guarantees a drained table can't self-lift into the plasma head</t>
        </is>
      </c>
    </row>
    <row r="24">
      <c r="A24" t="inlineStr">
        <is>
          <t>Manual effort (full, 4:1 MA)</t>
        </is>
      </c>
      <c r="B24" t="inlineStr">
        <is>
          <t>≈ 80 kg equiv</t>
        </is>
      </c>
      <c r="C24" t="inlineStr">
        <is>
          <t>(full − CW)/4 — one person workable</t>
        </is>
      </c>
    </row>
    <row r="25">
      <c r="A25" t="inlineStr">
        <is>
          <t>Cable / pins safety factor</t>
        </is>
      </c>
      <c r="B25" t="inlineStr">
        <is>
          <t>≥ 10 / ≥ 5</t>
        </is>
      </c>
      <c r="C25" t="inlineStr">
        <is>
          <t>6 mm steel cable, 2x M12 pins at set positions</t>
        </is>
      </c>
    </row>
    <row r="26">
      <c r="A26" t="inlineStr">
        <is>
          <t>Fill / drain</t>
        </is>
      </c>
      <c r="B26" t="inlineStr">
        <is>
          <t>≈ 6 min / gravity</t>
        </is>
      </c>
      <c r="C26" t="inlineStr">
        <is>
          <t>50 L/min basic pump; sump drain</t>
        </is>
      </c>
    </row>
    <row r="28">
      <c r="A28" s="2" t="inlineStr">
        <is>
          <t>SAFETY NOTE — empty-water crash mode:</t>
        </is>
      </c>
    </row>
    <row r="29">
      <c r="A29" s="24" t="inlineStr">
        <is>
          <t>If the counterweight exceeded the EMPTY table weight, a drained table would self-lift and slam into the plasma head. Passive fix: CW &lt; 0.9 x empty weight. Pins then hold every set position with the cable slacked — no power or brake needed at rest.</t>
        </is>
      </c>
    </row>
  </sheetData>
  <mergeCells count="2">
    <mergeCell ref="A1:F1"/>
    <mergeCell ref="A16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0" customWidth="1" min="3" max="3"/>
    <col width="60" customWidth="1" min="4" max="4"/>
  </cols>
  <sheetData>
    <row r="1">
      <c r="A1" s="1" t="inlineStr">
        <is>
          <t>CONSTRAINTS — INPUTS  (edit the YELLOW cells; every sheet recomputes)</t>
        </is>
      </c>
    </row>
    <row r="3">
      <c r="A3" s="9" t="inlineStr">
        <is>
          <t>CUSTOMER SPEC (from customer / guild)</t>
        </is>
      </c>
      <c r="B3" s="10" t="n"/>
      <c r="C3" s="10" t="n"/>
      <c r="D3" s="10" t="n"/>
    </row>
    <row r="4">
      <c r="A4" s="11" t="inlineStr">
        <is>
          <t>Longest travel axis (screw span basis)</t>
        </is>
      </c>
      <c r="B4" s="12" t="n">
        <v>2500</v>
      </c>
      <c r="C4" s="4" t="inlineStr">
        <is>
          <t>mm</t>
        </is>
      </c>
      <c r="D4" s="10" t="inlineStr">
        <is>
          <t>customer: bedsize 1700x1700mm</t>
        </is>
      </c>
    </row>
    <row r="5">
      <c r="A5" s="11" t="inlineStr">
        <is>
          <t>Min sheet to cut (customer)</t>
        </is>
      </c>
      <c r="B5" s="12" t="inlineStr">
        <is>
          <t>1000 x 2000</t>
        </is>
      </c>
      <c r="C5" s="4" t="inlineStr">
        <is>
          <t>mm</t>
        </is>
      </c>
      <c r="D5" s="10" t="inlineStr">
        <is>
          <t>customer</t>
        </is>
      </c>
    </row>
    <row r="6">
      <c r="A6" s="11" t="inlineStr">
        <is>
          <t>Torch</t>
        </is>
      </c>
      <c r="B6" s="11" t="inlineStr">
        <is>
          <t>Hypertherm POWERMAX 65 (customer supplies, w/ CPC)</t>
        </is>
      </c>
      <c r="C6" s="4" t="inlineStr">
        <is>
          <t>-</t>
        </is>
      </c>
      <c r="D6" s="10" t="inlineStr">
        <is>
          <t>customer</t>
        </is>
      </c>
    </row>
    <row r="7">
      <c r="A7" s="11" t="inlineStr">
        <is>
          <t>Z drilling feed force</t>
        </is>
      </c>
      <c r="B7" s="12" t="n">
        <v>2000</v>
      </c>
      <c r="C7" s="4" t="inlineStr">
        <is>
          <t>N</t>
        </is>
      </c>
      <c r="D7" s="10" t="inlineStr">
        <is>
          <t>customer — downward drilling force (NOT an X/Y load)</t>
        </is>
      </c>
    </row>
    <row r="8">
      <c r="A8" s="11" t="inlineStr">
        <is>
          <t>Max hole diameter</t>
        </is>
      </c>
      <c r="B8" s="12" t="n">
        <v>6</v>
      </c>
      <c r="C8" s="4" t="inlineStr">
        <is>
          <t>mm</t>
        </is>
      </c>
      <c r="D8" s="10" t="inlineStr">
        <is>
          <t>customer — into steel</t>
        </is>
      </c>
    </row>
    <row r="9">
      <c r="A9" s="11" t="inlineStr">
        <is>
          <t>Use case</t>
        </is>
      </c>
      <c r="B9" s="11" t="inlineStr">
        <is>
          <t>plasma+THC 15 m/min; light engrave/emboss/mill/drill (slow)</t>
        </is>
      </c>
      <c r="C9" s="4" t="inlineStr">
        <is>
          <t>-</t>
        </is>
      </c>
      <c r="D9" s="10" t="inlineStr">
        <is>
          <t>customer</t>
        </is>
      </c>
    </row>
    <row r="10">
      <c r="A10" s="9" t="inlineStr">
        <is>
          <t>MATERIAL / CUTTING (assumptions — adjust to your shop experience)</t>
        </is>
      </c>
      <c r="B10" s="10" t="n"/>
      <c r="C10" s="10" t="n"/>
      <c r="D10" s="10" t="n"/>
    </row>
    <row r="11">
      <c r="A11" s="13" t="inlineStr">
        <is>
          <t>Kc mild steel</t>
        </is>
      </c>
      <c r="B11" s="14" t="n">
        <v>2500</v>
      </c>
      <c r="C11" s="4" t="inlineStr">
        <is>
          <t>N/mm2</t>
        </is>
      </c>
      <c r="D11" s="10" t="inlineStr">
        <is>
          <t>Sumitomo: general steel 2500-3000</t>
        </is>
      </c>
    </row>
    <row r="12">
      <c r="A12" s="13" t="inlineStr">
        <is>
          <t>Kc brass</t>
        </is>
      </c>
      <c r="B12" s="14" t="n">
        <v>1500</v>
      </c>
      <c r="C12" s="4" t="inlineStr">
        <is>
          <t>N/mm2</t>
        </is>
      </c>
      <c r="D12" s="10" t="inlineStr">
        <is>
          <t>brass band 1000-1500</t>
        </is>
      </c>
    </row>
    <row r="13">
      <c r="A13" s="13" t="inlineStr">
        <is>
          <t>Feed / tangential ratio</t>
        </is>
      </c>
      <c r="B13" s="14" t="n">
        <v>0.4</v>
      </c>
      <c r="C13" s="4" t="inlineStr">
        <is>
          <t>-</t>
        </is>
      </c>
      <c r="D13" s="10" t="inlineStr">
        <is>
          <t>rake-angle dependent, 0.3-0.5 for steel</t>
        </is>
      </c>
    </row>
    <row r="14">
      <c r="A14" s="13" t="inlineStr">
        <is>
          <t>Depth of cut ap (default)</t>
        </is>
      </c>
      <c r="B14" s="14" t="n">
        <v>3</v>
      </c>
      <c r="C14" s="4" t="inlineStr">
        <is>
          <t>mm</t>
        </is>
      </c>
      <c r="D14" s="10" t="inlineStr">
        <is>
          <t>customer: 3 mm depth of cut</t>
        </is>
      </c>
    </row>
    <row r="15">
      <c r="A15" s="13" t="inlineStr">
        <is>
          <t>Feed per tooth fz (default)</t>
        </is>
      </c>
      <c r="B15" s="14" t="n">
        <v>0.05</v>
      </c>
      <c r="C15" s="4" t="inlineStr">
        <is>
          <t>mm/tooth</t>
        </is>
      </c>
      <c r="D15" s="10" t="inlineStr">
        <is>
          <t>light milling 2-flute; engraving ~0.03</t>
        </is>
      </c>
    </row>
    <row r="16">
      <c r="A16" s="13" t="inlineStr">
        <is>
          <t>Engagement (default)</t>
        </is>
      </c>
      <c r="B16" s="14" t="n">
        <v>0.7</v>
      </c>
      <c r="C16" s="4" t="inlineStr">
        <is>
          <t>-</t>
        </is>
      </c>
      <c r="D16" s="10" t="inlineStr">
        <is>
          <t>profile 0.5-0.7; slotting 0.9</t>
        </is>
      </c>
    </row>
    <row r="17">
      <c r="A17" s="9" t="inlineStr">
        <is>
          <t>MOTOR / DRIVE (24HS40-5004D NEMA 24 closed-loop)</t>
        </is>
      </c>
      <c r="B17" s="10" t="n"/>
      <c r="C17" s="10" t="n"/>
      <c r="D17" s="10" t="n"/>
    </row>
    <row r="18">
      <c r="A18" s="13" t="inlineStr">
        <is>
          <t>Rated torque</t>
        </is>
      </c>
      <c r="B18" s="14" t="n">
        <v>4</v>
      </c>
      <c r="C18" s="4" t="inlineStr">
        <is>
          <t>Nm</t>
        </is>
      </c>
      <c r="D18" s="10" t="inlineStr">
        <is>
          <t>holding torque, datasheet</t>
        </is>
      </c>
    </row>
    <row r="19">
      <c r="A19" s="13" t="inlineStr">
        <is>
          <t>Encoder max rpm</t>
        </is>
      </c>
      <c r="B19" s="14" t="n">
        <v>900</v>
      </c>
      <c r="C19" s="4" t="inlineStr">
        <is>
          <t>rpm</t>
        </is>
      </c>
      <c r="D19" s="10" t="inlineStr">
        <is>
          <t>60 kHz / 4000 CPR — this caps feed speed</t>
        </is>
      </c>
    </row>
    <row r="20">
      <c r="A20" s="13" t="inlineStr">
        <is>
          <t>Ballscrew efficiency</t>
        </is>
      </c>
      <c r="B20" s="14" t="n">
        <v>0.9</v>
      </c>
      <c r="C20" s="4" t="inlineStr">
        <is>
          <t>-</t>
        </is>
      </c>
      <c r="D20" s="10" t="inlineStr">
        <is>
          <t>typical ballscrew</t>
        </is>
      </c>
    </row>
    <row r="21">
      <c r="A21" s="13" t="inlineStr">
        <is>
          <t>Rack efficiency</t>
        </is>
      </c>
      <c r="B21" s="14" t="n">
        <v>0.95</v>
      </c>
      <c r="C21" s="4" t="inlineStr">
        <is>
          <t>-</t>
        </is>
      </c>
      <c r="D21" s="10" t="inlineStr">
        <is>
          <t>rack &amp; pinion</t>
        </is>
      </c>
    </row>
    <row r="22">
      <c r="A22" s="13" t="inlineStr">
        <is>
          <t>Screw end margin (both ends)</t>
        </is>
      </c>
      <c r="B22" s="14" t="n">
        <v>300</v>
      </c>
      <c r="C22" s="4" t="inlineStr">
        <is>
          <t>mm</t>
        </is>
      </c>
      <c r="D22" s="10" t="inlineStr">
        <is>
          <t>nut + bearing overhang beyond stroke</t>
        </is>
      </c>
    </row>
    <row r="23">
      <c r="A23" s="13" t="inlineStr">
        <is>
          <t>Torque fraction usable at speed</t>
        </is>
      </c>
      <c r="B23" s="14" t="n">
        <v>0.4</v>
      </c>
      <c r="C23" s="4" t="inlineStr">
        <is>
          <t>-</t>
        </is>
      </c>
      <c r="D23" s="10" t="inlineStr">
        <is>
          <t>conservative: 40% of rated at ~200-900 rpm</t>
        </is>
      </c>
    </row>
    <row r="24">
      <c r="A24" s="9" t="inlineStr">
        <is>
          <t>GUIDES (Hiwin HGH20CA)</t>
        </is>
      </c>
      <c r="B24" s="10" t="n"/>
      <c r="C24" s="10" t="n"/>
      <c r="D24" s="10" t="n"/>
    </row>
    <row r="25">
      <c r="A25" s="13" t="inlineStr">
        <is>
          <t>HGH20 static rating / block</t>
        </is>
      </c>
      <c r="B25" s="14" t="n">
        <v>36680</v>
      </c>
      <c r="C25" s="4" t="inlineStr">
        <is>
          <t>N</t>
        </is>
      </c>
      <c r="D25" s="10" t="inlineStr">
        <is>
          <t>Co per block, Hiwin HG catalog</t>
        </is>
      </c>
    </row>
    <row r="26">
      <c r="A26" s="13" t="inlineStr">
        <is>
          <t>Blocks per axis</t>
        </is>
      </c>
      <c r="B26" s="14" t="n">
        <v>2</v>
      </c>
      <c r="C26" s="4" t="inlineStr">
        <is>
          <t>-</t>
        </is>
      </c>
      <c r="D26" s="10" t="inlineStr">
        <is>
          <t>2 rails x 2 blocks</t>
        </is>
      </c>
    </row>
    <row r="27">
      <c r="A27" s="9" t="inlineStr">
        <is>
          <t>SPEED TARGETS</t>
        </is>
      </c>
      <c r="B27" s="10" t="n"/>
      <c r="C27" s="10" t="n"/>
      <c r="D27" s="10" t="n"/>
    </row>
    <row r="28">
      <c r="A28" s="13" t="inlineStr">
        <is>
          <t>Plasma speed</t>
        </is>
      </c>
      <c r="B28" s="14" t="n">
        <v>15</v>
      </c>
      <c r="C28" s="4" t="inlineStr">
        <is>
          <t>m/min</t>
        </is>
      </c>
      <c r="D28" s="10" t="inlineStr">
        <is>
          <t>customer rapid / thin-steel</t>
        </is>
      </c>
    </row>
    <row r="29">
      <c r="A29" s="13" t="inlineStr">
        <is>
          <t>Cut speed</t>
        </is>
      </c>
      <c r="B29" s="14" t="n">
        <v>5</v>
      </c>
      <c r="C29" s="4" t="inlineStr">
        <is>
          <t>m/min</t>
        </is>
      </c>
      <c r="D29" s="10" t="inlineStr">
        <is>
          <t>3 mm steel typical</t>
        </is>
      </c>
    </row>
    <row r="31">
      <c r="A31" s="20" t="inlineStr">
        <is>
          <t>CUSTOMER REQUIREMENTS  (Plasma Table Constraints.ods, 2026-10-21)</t>
        </is>
      </c>
    </row>
    <row r="32">
      <c r="A32" s="2" t="inlineStr">
        <is>
          <t>Outer maximum dimensions (X, Y)</t>
        </is>
      </c>
      <c r="B32" t="inlineStr">
        <is>
          <t>1600 x 2500</t>
        </is>
      </c>
      <c r="C32" t="inlineStr">
        <is>
          <t>mm</t>
        </is>
      </c>
      <c r="D32" s="21" t="inlineStr">
        <is>
          <t>customer 'outer max'</t>
        </is>
      </c>
    </row>
    <row r="33">
      <c r="A33" s="2" t="inlineStr">
        <is>
          <t>Min sheet to cut</t>
        </is>
      </c>
      <c r="B33" t="inlineStr">
        <is>
          <t>1000 x 2000</t>
        </is>
      </c>
      <c r="C33" t="inlineStr">
        <is>
          <t>mm</t>
        </is>
      </c>
      <c r="D33" s="21" t="inlineStr">
        <is>
          <t>'able to cut at least 1000x2000 sheets'</t>
        </is>
      </c>
    </row>
    <row r="34">
      <c r="A34" s="2" t="inlineStr">
        <is>
          <t>Available (customer)</t>
        </is>
      </c>
      <c r="B34" s="22" t="n">
        <v>1700</v>
      </c>
      <c r="C34" t="inlineStr">
        <is>
          <t>mm</t>
        </is>
      </c>
      <c r="D34" s="21" t="inlineStr">
        <is>
          <t>customer '1700mm'</t>
        </is>
      </c>
    </row>
    <row r="35">
      <c r="A35" s="2" t="inlineStr">
        <is>
          <t>Torch (customer buys)</t>
        </is>
      </c>
      <c r="B35" t="inlineStr">
        <is>
          <t>Powermax 65 + CPC</t>
        </is>
      </c>
    </row>
    <row r="36">
      <c r="A36" s="2" t="inlineStr">
        <is>
          <t>Control software</t>
        </is>
      </c>
      <c r="B36" t="inlineStr">
        <is>
          <t>LinuxCNC Qtplasmac + SheetCAM (local at machine)</t>
        </is>
      </c>
    </row>
    <row r="37">
      <c r="A37" s="2" t="inlineStr">
        <is>
          <t>Motion controller</t>
        </is>
      </c>
      <c r="B37" t="inlineStr">
        <is>
          <t>Mesa 7i76e (Ethernet FPGA)</t>
        </is>
      </c>
    </row>
    <row r="38">
      <c r="A38" s="2" t="inlineStr">
        <is>
          <t>THC — touch-off</t>
        </is>
      </c>
      <c r="B38" t="inlineStr">
        <is>
          <t>Mesa THCAD-5 (ohmic sensing)</t>
        </is>
      </c>
    </row>
    <row r="39">
      <c r="A39" s="2" t="inlineStr">
        <is>
          <t>THC — real-time</t>
        </is>
      </c>
      <c r="B39" t="inlineStr">
        <is>
          <t>Mesa THCAD-10 (voltage sensing)</t>
        </is>
      </c>
    </row>
    <row r="40">
      <c r="A40" s="2" t="inlineStr">
        <is>
          <t>EMI/EMI concern</t>
        </is>
      </c>
      <c r="B40" t="inlineStr">
        <is>
          <t>high — plasma cutter generates lots of electrical noise</t>
        </is>
      </c>
    </row>
    <row r="42">
      <c r="A42" s="20" t="inlineStr">
        <is>
          <t>DESIRED FEATURES (customer)</t>
        </is>
      </c>
    </row>
    <row r="43">
      <c r="A43" s="2" t="inlineStr">
        <is>
          <t>Plasma cutting with THC + water table</t>
        </is>
      </c>
    </row>
    <row r="44">
      <c r="A44" s="2" t="inlineStr">
        <is>
          <t>Break-away feature (part collision protection)</t>
        </is>
      </c>
    </row>
    <row r="45">
      <c r="A45" s="2" t="inlineStr">
        <is>
          <t>Scribing tool (pneumatic or electric)</t>
        </is>
      </c>
    </row>
    <row r="46">
      <c r="A46" s="2" t="inlineStr">
        <is>
          <t>Drilling small holes + spot drilling</t>
        </is>
      </c>
    </row>
    <row r="47">
      <c r="A47" s="2" t="inlineStr">
        <is>
          <t>High / adjustable Z-axis (for cutting curved surfaces)</t>
        </is>
      </c>
    </row>
    <row r="48">
      <c r="A48" s="2" t="inlineStr">
        <is>
          <t>Cut at least 1000x2000 sheets (bigger is better)</t>
        </is>
      </c>
    </row>
    <row r="49">
      <c r="A49" s="2" t="inlineStr">
        <is>
          <t>Light milling (ballscrew vs belts — customer's own suggestion)</t>
        </is>
      </c>
    </row>
    <row r="50">
      <c r="A50" s="2" t="inlineStr">
        <is>
          <t>4th axis for tube plasma cutting</t>
        </is>
      </c>
    </row>
    <row r="51">
      <c r="A51" s="2" t="inlineStr">
        <is>
          <t>More features e.g. gear tooth cutter</t>
        </is>
      </c>
    </row>
    <row r="52">
      <c r="A52" s="20" t="inlineStr">
        <is>
          <t>BALLSCREW CRITICAL SPEED  (Nc = K * D / L^2 * 1e7 rpm)</t>
        </is>
      </c>
    </row>
    <row r="53">
      <c r="A53" s="2" t="inlineStr">
        <is>
          <t>End-support factor K</t>
        </is>
      </c>
      <c r="B53" s="22" t="n">
        <v>15.1</v>
      </c>
      <c r="C53" t="inlineStr">
        <is>
          <t>-</t>
        </is>
      </c>
      <c r="D53" s="21" t="inlineStr">
        <is>
          <t>fixed-free 3.4 | sup-sup 9.7 | fixed-supp 15.1 | fixed-fixed 21.9 (K=(beta*L)^2)</t>
        </is>
      </c>
    </row>
    <row r="54">
      <c r="A54" s="2" t="inlineStr">
        <is>
          <t>Ballscrew diameter D (nominal)</t>
        </is>
      </c>
      <c r="B54" s="22" t="n">
        <v>25</v>
      </c>
      <c r="C54" t="inlineStr">
        <is>
          <t>mm</t>
        </is>
      </c>
      <c r="D54" s="21" t="inlineStr">
        <is>
          <t>larger lead -&gt; larger dia; scale to your screw</t>
        </is>
      </c>
    </row>
    <row r="56">
      <c r="A56" s="23" t="inlineStr">
        <is>
          <t>WATER TABLE + TABLE HEIGHT LIFT  (2026-10-21 design request)</t>
        </is>
      </c>
    </row>
    <row r="57">
      <c r="A57" s="2" t="inlineStr">
        <is>
          <t>Water table footprint L</t>
        </is>
      </c>
      <c r="B57" s="25" t="n">
        <v>1700</v>
      </c>
      <c r="C57" t="inlineStr">
        <is>
          <t>mm</t>
        </is>
      </c>
      <c r="D57" s="26" t="inlineStr">
        <is>
          <t>customer bed 1700x1700; set to work envelope if different</t>
        </is>
      </c>
    </row>
    <row r="58">
      <c r="A58" s="2" t="inlineStr">
        <is>
          <t>Water table footprint W</t>
        </is>
      </c>
      <c r="B58" s="25" t="n">
        <v>1700</v>
      </c>
      <c r="C58" t="inlineStr">
        <is>
          <t>mm</t>
        </is>
      </c>
    </row>
    <row r="59">
      <c r="A59" s="2" t="inlineStr">
        <is>
          <t>Water depth above workpiece</t>
        </is>
      </c>
      <c r="B59" s="25" t="n">
        <v>100</v>
      </c>
      <c r="C59" t="inlineStr">
        <is>
          <t>mm</t>
        </is>
      </c>
      <c r="D59" s="26" t="inlineStr">
        <is>
          <t>typical water-table jet depth; adjust if needed</t>
        </is>
      </c>
    </row>
    <row r="60">
      <c r="A60" s="2" t="inlineStr">
        <is>
          <t>Table structure mass (frame+top+gantry)</t>
        </is>
      </c>
      <c r="B60" s="25" t="n">
        <v>250</v>
      </c>
      <c r="C60" t="inlineStr">
        <is>
          <t>kg</t>
        </is>
      </c>
      <c r="D60" s="26" t="inlineStr">
        <is>
          <t>ESTIMATE — weigh the built frame and update</t>
        </is>
      </c>
    </row>
    <row r="61">
      <c r="A61" s="2" t="inlineStr">
        <is>
          <t>Lift mechanical advantage (pulley purchase)</t>
        </is>
      </c>
      <c r="B61" s="25" t="n">
        <v>4</v>
      </c>
      <c r="C61" t="inlineStr">
        <is>
          <t>-</t>
        </is>
      </c>
      <c r="D61" s="26" t="inlineStr">
        <is>
          <t>4:1 = 4 rope parts; 2:1 also viable</t>
        </is>
      </c>
    </row>
    <row r="62">
      <c r="A62" s="2" t="inlineStr">
        <is>
          <t>Counterweight safety factor (of empty weight)</t>
        </is>
      </c>
      <c r="B62" s="25" t="n">
        <v>0.9</v>
      </c>
      <c r="C62" t="inlineStr">
        <is>
          <t>-</t>
        </is>
      </c>
      <c r="D62" s="26" t="inlineStr">
        <is>
          <t>CW &lt; empty weight so a DRAINED table can never self-lift into the torch</t>
        </is>
      </c>
    </row>
    <row r="63">
      <c r="A63" s="2" t="inlineStr">
        <is>
          <t>Fill pump flow</t>
        </is>
      </c>
      <c r="B63" s="25" t="n">
        <v>50</v>
      </c>
      <c r="C63" t="inlineStr">
        <is>
          <t>L/min</t>
        </is>
      </c>
      <c r="D63" s="26" t="inlineStr">
        <is>
          <t>basic pump (customer spec)</t>
        </is>
      </c>
    </row>
    <row r="64">
      <c r="A64" s="2" t="inlineStr">
        <is>
          <t>Fixing pins (set positions)</t>
        </is>
      </c>
      <c r="B64" s="25" t="inlineStr">
        <is>
          <t>M12 x 2</t>
        </is>
      </c>
      <c r="C64" t="inlineStr">
        <is>
          <t>-</t>
        </is>
      </c>
      <c r="D64" s="26" t="inlineStr">
        <is>
          <t>pins take static load; cable can slack off</t>
        </is>
      </c>
    </row>
    <row r="65">
      <c r="A65" s="2" t="inlineStr">
        <is>
          <t>Steel cable dia</t>
        </is>
      </c>
      <c r="B65" s="25" t="n">
        <v>6</v>
      </c>
      <c r="C65" t="inlineStr">
        <is>
          <t>mm</t>
        </is>
      </c>
      <c r="D65" s="26" t="inlineStr">
        <is>
          <t>verify with vendor</t>
        </is>
      </c>
    </row>
    <row r="66">
      <c r="A66" s="2" t="inlineStr">
        <is>
          <t>Cable min breaking load</t>
        </is>
      </c>
      <c r="B66" s="25" t="n">
        <v>24000</v>
      </c>
      <c r="C66" t="inlineStr">
        <is>
          <t>N</t>
        </is>
      </c>
      <c r="D66" s="26" t="inlineStr">
        <is>
          <t>6 mm steel cable typical; verify with vendor</t>
        </is>
      </c>
    </row>
    <row r="67">
      <c r="A67" s="2" t="inlineStr">
        <is>
          <t>Pin shear capacity each</t>
        </is>
      </c>
      <c r="B67" s="25" t="n">
        <v>25000</v>
      </c>
      <c r="C67" t="inlineStr">
        <is>
          <t>N</t>
        </is>
      </c>
      <c r="D67" s="26" t="inlineStr">
        <is>
          <t>M12 steel shear ~25-40 kN; verify material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4" customWidth="1" min="7" max="7"/>
    <col width="15" customWidth="1" min="8" max="8"/>
  </cols>
  <sheetData>
    <row r="1">
      <c r="A1" s="1" t="inlineStr">
        <is>
          <t>X/Y FEED FORCE DEMAND   Ff = ratio x Kc x fz x ap x e</t>
        </is>
      </c>
    </row>
    <row r="2">
      <c r="A2" s="15" t="inlineStr">
        <is>
          <t>Change a case's fz/ap/e to test your real job. Ff is what the X/Y drive must push (AVERAGE).</t>
        </is>
      </c>
    </row>
    <row r="4">
      <c r="A4" s="3" t="inlineStr">
        <is>
          <t>Case</t>
        </is>
      </c>
      <c r="B4" s="3" t="inlineStr">
        <is>
          <t>d (mm)</t>
        </is>
      </c>
      <c r="C4" s="3" t="inlineStr">
        <is>
          <t>ap (mm)</t>
        </is>
      </c>
      <c r="D4" s="3" t="inlineStr">
        <is>
          <t>fz (mm/t)</t>
        </is>
      </c>
      <c r="E4" s="3" t="inlineStr">
        <is>
          <t>e (eng)</t>
        </is>
      </c>
      <c r="F4" s="3" t="inlineStr">
        <is>
          <t>A = fz.ap.e (mm2)</t>
        </is>
      </c>
      <c r="G4" s="3" t="inlineStr">
        <is>
          <t>Ft = Kc.A (N)</t>
        </is>
      </c>
      <c r="H4" s="3" t="inlineStr">
        <is>
          <t>Ff = 0.4.Ft (N)</t>
        </is>
      </c>
    </row>
    <row r="5">
      <c r="A5" s="4" t="inlineStr">
        <is>
          <t>Engraving (3 mm tool)</t>
        </is>
      </c>
      <c r="B5" s="4" t="n">
        <v>3</v>
      </c>
      <c r="C5" s="13" t="n">
        <v>1</v>
      </c>
      <c r="D5" s="13" t="n">
        <v>0.03</v>
      </c>
      <c r="E5" s="13" t="n">
        <v>0.7</v>
      </c>
      <c r="F5" s="16">
        <f>D5*C5*E5</f>
        <v/>
      </c>
      <c r="G5" s="17">
        <f>Inputs!$B$11*F5</f>
        <v/>
      </c>
      <c r="H5" s="18">
        <f>Inputs!$B$13*G5</f>
        <v/>
      </c>
    </row>
    <row r="6">
      <c r="A6" s="4" t="inlineStr">
        <is>
          <t>Light mill (6 mm 2-fl)</t>
        </is>
      </c>
      <c r="B6" s="4" t="n">
        <v>6</v>
      </c>
      <c r="C6" s="13" t="n">
        <v>3</v>
      </c>
      <c r="D6" s="13" t="n">
        <v>0.05</v>
      </c>
      <c r="E6" s="13" t="n">
        <v>0.7</v>
      </c>
      <c r="F6" s="16">
        <f>D6*C6*E6</f>
        <v/>
      </c>
      <c r="G6" s="17">
        <f>Inputs!$B$11*F6</f>
        <v/>
      </c>
      <c r="H6" s="18">
        <f>Inputs!$B$13*G6</f>
        <v/>
      </c>
    </row>
    <row r="7">
      <c r="A7" s="4" t="inlineStr">
        <is>
          <t>Slotting (10 mm 2-fl)</t>
        </is>
      </c>
      <c r="B7" s="4" t="n">
        <v>10</v>
      </c>
      <c r="C7" s="13" t="n">
        <v>3</v>
      </c>
      <c r="D7" s="13" t="n">
        <v>0.05</v>
      </c>
      <c r="E7" s="13" t="n">
        <v>0.9</v>
      </c>
      <c r="F7" s="16">
        <f>D7*C7*E7</f>
        <v/>
      </c>
      <c r="G7" s="17">
        <f>Inputs!$B$11*F7</f>
        <v/>
      </c>
      <c r="H7" s="18">
        <f>Inputs!$B$13*G7</f>
        <v/>
      </c>
    </row>
    <row r="8">
      <c r="A8" s="4" t="inlineStr">
        <is>
          <t>Brass gear (6 mm 2-fl)</t>
        </is>
      </c>
      <c r="B8" s="4" t="n">
        <v>6</v>
      </c>
      <c r="C8" s="13" t="n">
        <v>3</v>
      </c>
      <c r="D8" s="13" t="n">
        <v>0.05</v>
      </c>
      <c r="E8" s="13" t="n">
        <v>0.7</v>
      </c>
      <c r="F8" s="16">
        <f>D8*C8*E8</f>
        <v/>
      </c>
      <c r="G8" s="17">
        <f>Inputs!$B$12*F8</f>
        <v/>
      </c>
      <c r="H8" s="18">
        <f>Inputs!$B$13*G8</f>
        <v/>
      </c>
    </row>
    <row r="9">
      <c r="A9" s="2" t="inlineStr">
        <is>
          <t>X/Y FORCE ENVELOPE (min-max of Ff)</t>
        </is>
      </c>
      <c r="H9" s="19">
        <f>MIN(H5:H8)&amp;"  ..  "&amp;MAX(H5:H8)&amp;" N"</f>
        <v/>
      </c>
    </row>
    <row r="11">
      <c r="A11" s="15" t="inlineStr">
        <is>
          <t>These are AVERAGE feed forces. Instantaneous peaks are ~2-3x higher but last milliseconds; the Drive sheet checks capability with &gt;=1.5x margin so peaks are covered.</t>
        </is>
      </c>
    </row>
  </sheetData>
  <mergeCells count="3">
    <mergeCell ref="A11:H11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12" customWidth="1" min="4" max="4"/>
    <col width="13" customWidth="1" min="5" max="5"/>
    <col width="15" customWidth="1" min="6" max="6"/>
    <col width="15" customWidth="1" min="7" max="7"/>
    <col width="12" customWidth="1" min="8" max="8"/>
    <col width="11" customWidth="1" min="9" max="9"/>
    <col width="12" customWidth="1" min="10" max="10"/>
    <col width="11" customWidth="1" min="11" max="11"/>
    <col width="10" customWidth="1" min="12" max="12"/>
    <col width="12" customWidth="1" min="13" max="13"/>
  </cols>
  <sheetData>
    <row r="1">
      <c r="A1" s="1" t="inlineStr">
        <is>
          <t>X/Y DRIVE CAPABILITY vs DEMAND   (plasma corner AND cutting corner must both pass)</t>
        </is>
      </c>
    </row>
    <row r="2">
      <c r="A2" s="15" t="inlineStr">
        <is>
          <t>Plasma corner = 15 m/min @ ~35 N (nearly unloaded).  Cutting corner = 150 N @ low speed (full torque).</t>
        </is>
      </c>
    </row>
    <row r="4">
      <c r="A4" s="3" t="inlineStr">
        <is>
          <t>Drive</t>
        </is>
      </c>
      <c r="B4" s="3" t="inlineStr">
        <is>
          <t>Lead / mod</t>
        </is>
      </c>
      <c r="C4" s="3" t="inlineStr">
        <is>
          <t>Teeth</t>
        </is>
      </c>
      <c r="D4" s="3" t="inlineStr">
        <is>
          <t>rpm for 15 m/min</t>
        </is>
      </c>
      <c r="E4" s="3" t="inlineStr">
        <is>
          <t>Speed @ rpm (mm/min)</t>
        </is>
      </c>
      <c r="F4" s="3" t="inlineStr">
        <is>
          <t>Force avail @15m/min (N)</t>
        </is>
      </c>
      <c r="G4" s="3" t="inlineStr">
        <is>
          <t>Torque for 150 N cut (Nm)</t>
        </is>
      </c>
      <c r="H4" s="3" t="inlineStr">
        <is>
          <t>% of 4 Nm motor</t>
        </is>
      </c>
      <c r="I4" s="3" t="inlineStr">
        <is>
          <t>Screw len (mm)</t>
        </is>
      </c>
      <c r="J4" s="3" t="inlineStr">
        <is>
          <t>Critical speed (rpm)</t>
        </is>
      </c>
      <c r="K4" s="3" t="inlineStr">
        <is>
          <t>50% crit (rpm)</t>
        </is>
      </c>
      <c r="L4" s="3" t="inlineStr">
        <is>
          <t>&lt;900rpm?</t>
        </is>
      </c>
      <c r="M4" s="3" t="inlineStr">
        <is>
          <t>VERDICT</t>
        </is>
      </c>
    </row>
    <row r="5">
      <c r="A5" s="4" t="inlineStr">
        <is>
          <t>Ballscrew 5 mm lead</t>
        </is>
      </c>
      <c r="B5" s="4" t="n">
        <v>5</v>
      </c>
      <c r="C5" s="4" t="inlineStr">
        <is>
          <t>-</t>
        </is>
      </c>
      <c r="D5" s="17">
        <f>ROUND(15000/B5,0)</f>
        <v/>
      </c>
      <c r="E5" s="17">
        <f>B5*D5</f>
        <v/>
      </c>
      <c r="F5" s="17">
        <f>ROUND(2*3.14159*Inputs!$B$20*(Inputs!$B$18*Inputs!$B$23)*1000/B5,0)</f>
        <v/>
      </c>
      <c r="G5" s="17">
        <f>ROUND(150*B5/(2*3.14159*Inputs!$B$20*1000),2)</f>
        <v/>
      </c>
      <c r="H5" s="17">
        <f>ROUND(G5/Inputs!$B$18*100,0)</f>
        <v/>
      </c>
      <c r="I5" s="17">
        <f>(Inputs!$B$4+Inputs!$B$22)</f>
        <v/>
      </c>
      <c r="J5" s="17">
        <f>ROUND(Inputs!$B$53*Inputs!$B$54*10000000/I5^2,0)</f>
        <v/>
      </c>
      <c r="K5" s="17">
        <f>J5/2</f>
        <v/>
      </c>
      <c r="L5" s="17">
        <f>IF(D5&lt;=Inputs!$B$19,"yes","NO")</f>
        <v/>
      </c>
      <c r="M5" s="4">
        <f>IF(AND(F5&gt;=35,H5&lt;=100,D5&lt;=Inputs!$B$19,D5&lt;=K5),"PASS","FAIL")</f>
        <v/>
      </c>
    </row>
    <row r="6">
      <c r="A6" s="4" t="inlineStr">
        <is>
          <t>Ballscrew 10 mm lead</t>
        </is>
      </c>
      <c r="B6" s="4" t="n">
        <v>10</v>
      </c>
      <c r="C6" s="4" t="inlineStr">
        <is>
          <t>-</t>
        </is>
      </c>
      <c r="D6" s="17">
        <f>ROUND(15000/B6,0)</f>
        <v/>
      </c>
      <c r="E6" s="17">
        <f>B6*D6</f>
        <v/>
      </c>
      <c r="F6" s="17">
        <f>ROUND(2*3.14159*Inputs!$B$20*(Inputs!$B$18*Inputs!$B$23)*1000/B6,0)</f>
        <v/>
      </c>
      <c r="G6" s="17">
        <f>ROUND(150*B6/(2*3.14159*Inputs!$B$20*1000),2)</f>
        <v/>
      </c>
      <c r="H6" s="17">
        <f>ROUND(G6/Inputs!$B$18*100,0)</f>
        <v/>
      </c>
      <c r="I6" s="17">
        <f>(Inputs!$B$4+Inputs!$B$22)</f>
        <v/>
      </c>
      <c r="J6" s="17">
        <f>ROUND(Inputs!$B$53*Inputs!$B$54*10000000/I6^2,0)</f>
        <v/>
      </c>
      <c r="K6" s="17">
        <f>J6/2</f>
        <v/>
      </c>
      <c r="L6" s="17">
        <f>IF(D6&lt;=Inputs!$B$19,"yes","NO")</f>
        <v/>
      </c>
      <c r="M6" s="4">
        <f>IF(AND(F6&gt;=35,H6&lt;=100,D6&lt;=Inputs!$B$19,D6&lt;=K6),"PASS","FAIL")</f>
        <v/>
      </c>
    </row>
    <row r="7">
      <c r="A7" s="4" t="inlineStr">
        <is>
          <t>Ballscrew 16 mm lead</t>
        </is>
      </c>
      <c r="B7" s="4" t="n">
        <v>16</v>
      </c>
      <c r="C7" s="4" t="inlineStr">
        <is>
          <t>-</t>
        </is>
      </c>
      <c r="D7" s="17">
        <f>ROUND(15000/B7,0)</f>
        <v/>
      </c>
      <c r="E7" s="17">
        <f>B7*D7</f>
        <v/>
      </c>
      <c r="F7" s="17">
        <f>ROUND(2*3.14159*Inputs!$B$20*(Inputs!$B$18*Inputs!$B$23)*1000/B7,0)</f>
        <v/>
      </c>
      <c r="G7" s="17">
        <f>ROUND(150*B7/(2*3.14159*Inputs!$B$20*1000),2)</f>
        <v/>
      </c>
      <c r="H7" s="17">
        <f>ROUND(G7/Inputs!$B$18*100,0)</f>
        <v/>
      </c>
      <c r="I7" s="17">
        <f>(Inputs!$B$4+Inputs!$B$22)</f>
        <v/>
      </c>
      <c r="J7" s="17">
        <f>ROUND(Inputs!$B$53*Inputs!$B$54*10000000/I7^2,0)</f>
        <v/>
      </c>
      <c r="K7" s="17">
        <f>J7/2</f>
        <v/>
      </c>
      <c r="L7" s="17">
        <f>IF(D7&lt;=Inputs!$B$19,"yes","NO")</f>
        <v/>
      </c>
      <c r="M7" s="4">
        <f>IF(AND(F7&gt;=35,H7&lt;=100,D7&lt;=Inputs!$B$19,D7&lt;=K7),"PASS","FAIL")</f>
        <v/>
      </c>
    </row>
    <row r="8">
      <c r="A8" s="4" t="inlineStr">
        <is>
          <t>Ballscrew 20 mm lead</t>
        </is>
      </c>
      <c r="B8" s="4" t="n">
        <v>20</v>
      </c>
      <c r="C8" s="4" t="inlineStr">
        <is>
          <t>-</t>
        </is>
      </c>
      <c r="D8" s="17">
        <f>ROUND(15000/B8,0)</f>
        <v/>
      </c>
      <c r="E8" s="17">
        <f>B8*D8</f>
        <v/>
      </c>
      <c r="F8" s="17">
        <f>ROUND(2*3.14159*Inputs!$B$20*(Inputs!$B$18*Inputs!$B$23)*1000/B8,0)</f>
        <v/>
      </c>
      <c r="G8" s="17">
        <f>ROUND(150*B8/(2*3.14159*Inputs!$B$20*1000),2)</f>
        <v/>
      </c>
      <c r="H8" s="17">
        <f>ROUND(G8/Inputs!$B$18*100,0)</f>
        <v/>
      </c>
      <c r="I8" s="17">
        <f>(Inputs!$B$4+Inputs!$B$22)</f>
        <v/>
      </c>
      <c r="J8" s="17">
        <f>ROUND(Inputs!$B$53*Inputs!$B$54*10000000/I8^2,0)</f>
        <v/>
      </c>
      <c r="K8" s="17">
        <f>J8/2</f>
        <v/>
      </c>
      <c r="L8" s="17">
        <f>IF(D8&lt;=Inputs!$B$19,"yes","NO")</f>
        <v/>
      </c>
      <c r="M8" s="4">
        <f>IF(AND(F8&gt;=35,H8&lt;=100,D8&lt;=Inputs!$B$19,D8&lt;=K8),"PASS","FAIL")</f>
        <v/>
      </c>
    </row>
    <row r="9">
      <c r="A9" s="4" t="inlineStr">
        <is>
          <t>Ballscrew 25 mm lead</t>
        </is>
      </c>
      <c r="B9" s="4" t="n">
        <v>25</v>
      </c>
      <c r="C9" s="4" t="inlineStr">
        <is>
          <t>-</t>
        </is>
      </c>
      <c r="D9" s="17">
        <f>ROUND(15000/B9,0)</f>
        <v/>
      </c>
      <c r="E9" s="17">
        <f>B9*D9</f>
        <v/>
      </c>
      <c r="F9" s="17">
        <f>ROUND(2*3.14159*Inputs!$B$20*(Inputs!$B$18*Inputs!$B$23)*1000/B9,0)</f>
        <v/>
      </c>
      <c r="G9" s="17">
        <f>ROUND(150*B9/(2*3.14159*Inputs!$B$20*1000),2)</f>
        <v/>
      </c>
      <c r="H9" s="17">
        <f>ROUND(G9/Inputs!$B$18*100,0)</f>
        <v/>
      </c>
      <c r="I9" s="17">
        <f>(Inputs!$B$4+Inputs!$B$22)</f>
        <v/>
      </c>
      <c r="J9" s="17">
        <f>ROUND(Inputs!$B$53*Inputs!$B$54*10000000/I9^2,0)</f>
        <v/>
      </c>
      <c r="K9" s="17">
        <f>J9/2</f>
        <v/>
      </c>
      <c r="L9" s="17">
        <f>IF(D9&lt;=Inputs!$B$19,"yes","NO")</f>
        <v/>
      </c>
      <c r="M9" s="4">
        <f>IF(AND(F9&gt;=35,H9&lt;=100,D9&lt;=Inputs!$B$19,D9&lt;=K9),"PASS","FAIL")</f>
        <v/>
      </c>
    </row>
    <row r="10">
      <c r="A10" s="4" t="inlineStr">
        <is>
          <t>Rack m1 z12</t>
        </is>
      </c>
      <c r="B10" s="4" t="n">
        <v>1</v>
      </c>
      <c r="C10" s="4" t="n">
        <v>12</v>
      </c>
      <c r="D10" s="17">
        <f>ROUND(15000/(3.14159*B10*C10),0)</f>
        <v/>
      </c>
      <c r="E10" s="17">
        <f>ROUND(3.14159*B10*C10*D10,0)</f>
        <v/>
      </c>
      <c r="F10" s="17">
        <f>ROUND(Inputs!$B$21*(Inputs!$B$18*Inputs!$B$23)*1000/(B10*C10/2),0)</f>
        <v/>
      </c>
      <c r="G10" s="17">
        <f>ROUND(150*B10*C10/2/1000,2)</f>
        <v/>
      </c>
      <c r="H10" s="17">
        <f>ROUND(G10/Inputs!$B$18*100,0)</f>
        <v/>
      </c>
      <c r="I10" s="17">
        <f>(Inputs!$B$4+Inputs!$B$22)</f>
        <v/>
      </c>
      <c r="J10" s="17" t="inlineStr">
        <is>
          <t>-</t>
        </is>
      </c>
      <c r="K10" s="17" t="inlineStr">
        <is>
          <t>-</t>
        </is>
      </c>
      <c r="L10" s="17" t="inlineStr">
        <is>
          <t>n/a</t>
        </is>
      </c>
      <c r="M10" s="4">
        <f>IF(AND(F10&gt;=35,H10&lt;=100,D10&lt;=Inputs!$B$19),"PASS","FAIL")</f>
        <v/>
      </c>
    </row>
    <row r="11">
      <c r="A11" s="4" t="inlineStr">
        <is>
          <t>Rack m1.5 z16</t>
        </is>
      </c>
      <c r="B11" s="4" t="n">
        <v>1.5</v>
      </c>
      <c r="C11" s="4" t="n">
        <v>16</v>
      </c>
      <c r="D11" s="17">
        <f>ROUND(15000/(3.14159*B11*C11),0)</f>
        <v/>
      </c>
      <c r="E11" s="17">
        <f>ROUND(3.14159*B11*C11*D11,0)</f>
        <v/>
      </c>
      <c r="F11" s="17">
        <f>ROUND(Inputs!$B$21*(Inputs!$B$18*Inputs!$B$23)*1000/(B11*C11/2),0)</f>
        <v/>
      </c>
      <c r="G11" s="17">
        <f>ROUND(150*B11*C11/2/1000,2)</f>
        <v/>
      </c>
      <c r="H11" s="17">
        <f>ROUND(G11/Inputs!$B$18*100,0)</f>
        <v/>
      </c>
      <c r="I11" s="17">
        <f>(Inputs!$B$4+Inputs!$B$22)</f>
        <v/>
      </c>
      <c r="J11" s="17" t="inlineStr">
        <is>
          <t>-</t>
        </is>
      </c>
      <c r="K11" s="17" t="inlineStr">
        <is>
          <t>-</t>
        </is>
      </c>
      <c r="L11" s="17" t="inlineStr">
        <is>
          <t>n/a</t>
        </is>
      </c>
      <c r="M11" s="4">
        <f>IF(AND(F11&gt;=35,H11&lt;=100,D11&lt;=Inputs!$B$19),"PASS","FAIL")</f>
        <v/>
      </c>
    </row>
    <row r="12">
      <c r="A12" s="4" t="inlineStr">
        <is>
          <t>Rack m2 z14</t>
        </is>
      </c>
      <c r="B12" s="4" t="n">
        <v>2</v>
      </c>
      <c r="C12" s="4" t="n">
        <v>14</v>
      </c>
      <c r="D12" s="17">
        <f>ROUND(15000/(3.14159*B12*C12),0)</f>
        <v/>
      </c>
      <c r="E12" s="17">
        <f>ROUND(3.14159*B12*C12*D12,0)</f>
        <v/>
      </c>
      <c r="F12" s="17">
        <f>ROUND(Inputs!$B$21*(Inputs!$B$18*Inputs!$B$23)*1000/(B12*C12/2),0)</f>
        <v/>
      </c>
      <c r="G12" s="17">
        <f>ROUND(150*B12*C12/2/1000,2)</f>
        <v/>
      </c>
      <c r="H12" s="17">
        <f>ROUND(G12/Inputs!$B$18*100,0)</f>
        <v/>
      </c>
      <c r="I12" s="17">
        <f>(Inputs!$B$4+Inputs!$B$22)</f>
        <v/>
      </c>
      <c r="J12" s="17" t="inlineStr">
        <is>
          <t>-</t>
        </is>
      </c>
      <c r="K12" s="17" t="inlineStr">
        <is>
          <t>-</t>
        </is>
      </c>
      <c r="L12" s="17" t="inlineStr">
        <is>
          <t>n/a</t>
        </is>
      </c>
      <c r="M12" s="4">
        <f>IF(AND(F12&gt;=35,H12&lt;=100,D12&lt;=Inputs!$B$19),"PASS","FAIL")</f>
        <v/>
      </c>
    </row>
    <row r="14">
      <c r="A14" s="15" t="inlineStr">
        <is>
          <t>Force avail uses 40% of rated torque (conservative at 200-900 rpm). 'Torque for 150 N cut' is at low rpm = full torque. The 900 rpm encoder cap is the binding constraint: it forces a lead &gt;= ~17 mm to reach 15 m/min.</t>
        </is>
      </c>
    </row>
    <row r="15">
      <c r="A15" s="15" t="inlineStr">
        <is>
          <t>Critical-speed note: bed 1700 -&gt; screw ~2000 mm. For a 20 mm lead at 750 rpm you need screw &gt;= ~25 mm dia (or a mid-span bearing) to stay under 50% of critical speed. Rack has no critical-speed limit.</t>
        </is>
      </c>
    </row>
  </sheetData>
  <mergeCells count="4">
    <mergeCell ref="A15:M15"/>
    <mergeCell ref="A2:M2"/>
    <mergeCell ref="A14:M14"/>
    <mergeCell ref="A1:M1"/>
  </mergeCells>
  <conditionalFormatting sqref="M5:M12">
    <cfRule type="cellIs" priority="1" operator="equal" dxfId="0">
      <formula>"PASS"</formula>
    </cfRule>
    <cfRule type="cellIs" priority="2" operator="equal" dxfId="1">
      <formula>"FAIL"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56" customWidth="1" min="4" max="4"/>
  </cols>
  <sheetData>
    <row r="1">
      <c r="A1" s="1" t="inlineStr">
        <is>
          <t>Z AXIS / DRILLING CONSTRAINTS (2000 N downward feed)</t>
        </is>
      </c>
    </row>
    <row r="3">
      <c r="A3" s="9" t="inlineStr">
        <is>
          <t>FEED FORCE (downward drilling)</t>
        </is>
      </c>
      <c r="B3" s="10" t="n"/>
      <c r="C3" s="10" t="n"/>
      <c r="D3" s="10" t="n"/>
    </row>
    <row r="4">
      <c r="A4" s="11" t="inlineStr">
        <is>
          <t>Z feed force (customer)</t>
        </is>
      </c>
      <c r="B4" s="11">
        <f>Inputs!$B$7</f>
        <v/>
      </c>
      <c r="C4" s="4" t="inlineStr">
        <is>
          <t>N</t>
        </is>
      </c>
      <c r="D4" s="4" t="inlineStr">
        <is>
          <t>customer</t>
        </is>
      </c>
    </row>
    <row r="5">
      <c r="A5" s="13" t="inlineStr">
        <is>
          <t>Lead screw lead (self-locking)</t>
        </is>
      </c>
      <c r="B5" s="14" t="n">
        <v>2.5</v>
      </c>
      <c r="C5" s="4" t="inlineStr">
        <is>
          <t>mm</t>
        </is>
      </c>
      <c r="D5" s="4" t="inlineStr">
        <is>
          <t>trapezoid — holds position at power-off</t>
        </is>
      </c>
    </row>
    <row r="6">
      <c r="A6" s="13" t="inlineStr">
        <is>
          <t>Lead screw dia</t>
        </is>
      </c>
      <c r="B6" s="14" t="n">
        <v>16</v>
      </c>
      <c r="C6" s="4" t="inlineStr">
        <is>
          <t>mm</t>
        </is>
      </c>
      <c r="D6" s="4" t="inlineStr">
        <is>
          <t>standard 16x2.5 trapezoid</t>
        </is>
      </c>
    </row>
    <row r="7">
      <c r="A7" s="13" t="inlineStr">
        <is>
          <t>Lead screw efficiency</t>
        </is>
      </c>
      <c r="B7" s="14" t="n">
        <v>0.45</v>
      </c>
      <c r="C7" s="4" t="inlineStr">
        <is>
          <t>-</t>
        </is>
      </c>
      <c r="D7" s="4" t="inlineStr">
        <is>
          <t>trapezoid ~0.35-0.5</t>
        </is>
      </c>
    </row>
    <row r="8">
      <c r="A8" s="9" t="inlineStr">
        <is>
          <t>DRIVE CHECK (4 Nm NEMA 24)</t>
        </is>
      </c>
      <c r="B8" s="10" t="n"/>
      <c r="C8" s="10" t="n"/>
      <c r="D8" s="10" t="n"/>
    </row>
    <row r="9">
      <c r="A9" s="17" t="inlineStr">
        <is>
          <t>Force a 4 Nm motor pushes thru 2.5 mm lead</t>
        </is>
      </c>
      <c r="B9" s="17">
        <f>ROUND(2*3.14159*Z-Drill!$B$7*Inputs!$B$18*1000/Z-Drill!$B$5,0)</f>
        <v/>
      </c>
      <c r="C9" s="4" t="inlineStr">
        <is>
          <t>N</t>
        </is>
      </c>
      <c r="D9" s="4" t="inlineStr">
        <is>
          <t>F = 2.pi.eta.T / L</t>
        </is>
      </c>
    </row>
    <row r="10">
      <c r="A10" s="17" t="inlineStr">
        <is>
          <t>Margin over 2000 N</t>
        </is>
      </c>
      <c r="B10" s="17">
        <f>Z-Drill!$B$9/Z-Drill!$B$4</f>
        <v/>
      </c>
      <c r="C10" s="4" t="inlineStr">
        <is>
          <t>x</t>
        </is>
      </c>
      <c r="D10" s="4" t="inlineStr">
        <is>
          <t>should be &gt;= 1.5</t>
        </is>
      </c>
    </row>
    <row r="11">
      <c r="A11" s="9" t="inlineStr">
        <is>
          <t>THrust BEARING (the lathe-type 'cone + cylinder')</t>
        </is>
      </c>
      <c r="B11" s="10" t="n"/>
      <c r="C11" s="10" t="n"/>
      <c r="D11" s="10" t="n"/>
    </row>
    <row r="12">
      <c r="A12" s="13" t="inlineStr">
        <is>
          <t>Bearing</t>
        </is>
      </c>
      <c r="B12" s="13" t="inlineStr">
        <is>
          <t>51217 single-row thrust ball</t>
        </is>
      </c>
      <c r="C12" s="4" t="inlineStr">
        <is>
          <t>-</t>
        </is>
      </c>
      <c r="D12" s="4" t="inlineStr">
        <is>
          <t>96 kN axial rating</t>
        </is>
      </c>
    </row>
    <row r="13">
      <c r="A13" s="13" t="inlineStr">
        <is>
          <t>Axial dynamic rating C</t>
        </is>
      </c>
      <c r="B13" s="14" t="n">
        <v>96400</v>
      </c>
      <c r="C13" s="4" t="inlineStr">
        <is>
          <t>N</t>
        </is>
      </c>
      <c r="D13" s="4" t="inlineStr">
        <is>
          <t>51217 datasheet</t>
        </is>
      </c>
    </row>
    <row r="14">
      <c r="A14" s="17" t="inlineStr">
        <is>
          <t>Utilisation @ 2000 N</t>
        </is>
      </c>
      <c r="B14" s="17">
        <f>Z-Drill!$B$4/Z-Drill!$B$13*100</f>
        <v/>
      </c>
      <c r="C14" s="4" t="inlineStr">
        <is>
          <t>%</t>
        </is>
      </c>
      <c r="D14" s="4" t="inlineStr">
        <is>
          <t>should be a few %</t>
        </is>
      </c>
    </row>
    <row r="15">
      <c r="A15" s="9" t="inlineStr">
        <is>
          <t>DRILL TORQUE (6 mm HSS in mild steel, ~1300 rpm)</t>
        </is>
      </c>
      <c r="B15" s="10" t="n"/>
      <c r="C15" s="10" t="n"/>
      <c r="D15" s="10" t="n"/>
    </row>
    <row r="16">
      <c r="A16" s="13" t="inlineStr">
        <is>
          <t>Drill torque (typical)</t>
        </is>
      </c>
      <c r="B16" s="14" t="n">
        <v>2</v>
      </c>
      <c r="C16" s="4" t="inlineStr">
        <is>
          <t>Nm</t>
        </is>
      </c>
      <c r="D16" s="4" t="inlineStr">
        <is>
          <t>6 mm HSS mild steel ~1-2.5 Nm</t>
        </is>
      </c>
    </row>
    <row r="17">
      <c r="A17" s="13" t="inlineStr">
        <is>
          <t>Spindle: Flipsky 7070 140KV @ 48V</t>
        </is>
      </c>
      <c r="B17" s="13" t="inlineStr">
        <is>
          <t>2400 rpm, ~3-5 Nm cont</t>
        </is>
      </c>
      <c r="C17" s="4" t="inlineStr">
        <is>
          <t>-</t>
        </is>
      </c>
      <c r="D17" s="4" t="inlineStr">
        <is>
          <t>off-axis + belt, light moving mass</t>
        </is>
      </c>
    </row>
    <row r="18">
      <c r="A18" s="17" t="inlineStr">
        <is>
          <t>Torque margin (Flipsky cont vs drill)</t>
        </is>
      </c>
      <c r="B18" s="17">
        <f>4/Z-Drill!$B$16</f>
        <v/>
      </c>
      <c r="C18" s="4" t="inlineStr">
        <is>
          <t>x</t>
        </is>
      </c>
      <c r="D18" s="4" t="inlineStr">
        <is>
          <t>~3-5 Nm cont vs 2 Nm</t>
        </is>
      </c>
    </row>
    <row r="19">
      <c r="A19" s="9" t="inlineStr">
        <is>
          <t>RAILS (2x HGH20 on Z carriage)</t>
        </is>
      </c>
      <c r="B19" s="10" t="n"/>
      <c r="C19" s="10" t="n"/>
      <c r="D19" s="10" t="n"/>
    </row>
    <row r="20">
      <c r="A20" s="17" t="inlineStr">
        <is>
          <t>Z rail static capacity (2 blocks)</t>
        </is>
      </c>
      <c r="B20" s="17">
        <f>2*Inputs!$B$25</f>
        <v/>
      </c>
      <c r="C20" s="4" t="inlineStr">
        <is>
          <t>N</t>
        </is>
      </c>
      <c r="D20" s="4" t="inlineStr"/>
    </row>
    <row r="21">
      <c r="A21" s="17" t="inlineStr">
        <is>
          <t>Z rail utilisation @ 2000 N</t>
        </is>
      </c>
      <c r="B21" s="17">
        <f>Z-Drill!$B$4/Z-Drill!$B$20*100</f>
        <v/>
      </c>
      <c r="C21" s="4" t="inlineStr">
        <is>
          <t>%</t>
        </is>
      </c>
      <c r="D21" s="4" t="inlineStr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0" customWidth="1" min="3" max="3"/>
    <col width="58" customWidth="1" min="4" max="4"/>
    <col width="12" customWidth="1" min="5" max="5"/>
  </cols>
  <sheetData>
    <row r="1">
      <c r="A1" s="23" t="inlineStr">
        <is>
          <t>WATER TABLE + TABLE HEIGHT LIFT  (live calcs — inputs on the Inputs sheet)</t>
        </is>
      </c>
    </row>
    <row r="2">
      <c r="A2" s="26" t="inlineStr">
        <is>
          <t>Water cools the kerf/workpiece (prevents warping), damps the plasma arc. Table raise/lower for access, counterweight-assisted, pin-fixed at set heights. X/Y fixed to table; plasma head keeps its own large Z travel.</t>
        </is>
      </c>
    </row>
    <row r="4">
      <c r="A4" s="27" t="inlineStr">
        <is>
          <t>--- WATER LOAD ---</t>
        </is>
      </c>
    </row>
    <row r="5">
      <c r="A5" s="2" t="inlineStr">
        <is>
          <t>Water volume</t>
        </is>
      </c>
      <c r="B5" s="28">
        <f>Inputs!B57*Inputs!B58*Inputs!B59/1000000000</f>
        <v/>
      </c>
      <c r="C5" t="inlineStr">
        <is>
          <t>m^3</t>
        </is>
      </c>
      <c r="D5" s="26" t="inlineStr">
        <is>
          <t>L x W x depth</t>
        </is>
      </c>
    </row>
    <row r="6">
      <c r="A6" s="2" t="inlineStr">
        <is>
          <t>Water mass</t>
        </is>
      </c>
      <c r="B6" s="28">
        <f>B5*1000</f>
        <v/>
      </c>
      <c r="C6" t="inlineStr">
        <is>
          <t>kg</t>
        </is>
      </c>
      <c r="D6" s="26" t="inlineStr">
        <is>
          <t>1000 kg/m^3</t>
        </is>
      </c>
    </row>
    <row r="7">
      <c r="A7" s="2" t="inlineStr">
        <is>
          <t>Water weight</t>
        </is>
      </c>
      <c r="B7" s="28">
        <f>B6*9.81</f>
        <v/>
      </c>
      <c r="C7" t="inlineStr">
        <is>
          <t>N</t>
        </is>
      </c>
    </row>
    <row r="8">
      <c r="A8" s="2" t="inlineStr">
        <is>
          <t>Empty table weight</t>
        </is>
      </c>
      <c r="B8" s="28">
        <f>Inputs!B60*9.81</f>
        <v/>
      </c>
      <c r="C8" t="inlineStr">
        <is>
          <t>N</t>
        </is>
      </c>
      <c r="D8" s="26" t="inlineStr">
        <is>
          <t>structure mass x g</t>
        </is>
      </c>
    </row>
    <row r="9">
      <c r="A9" s="2" t="inlineStr">
        <is>
          <t>FULL table weight (lifting load)</t>
        </is>
      </c>
      <c r="B9" s="28">
        <f>B7+B8</f>
        <v/>
      </c>
      <c r="C9" t="inlineStr">
        <is>
          <t>N</t>
        </is>
      </c>
      <c r="D9" s="26" t="inlineStr">
        <is>
          <t>what the lift system sees</t>
        </is>
      </c>
    </row>
    <row r="10">
      <c r="A10" s="27" t="inlineStr">
        <is>
          <t>--- COUNTERWEIGHT + ASSIST ---</t>
        </is>
      </c>
    </row>
    <row r="11">
      <c r="A11" s="2" t="inlineStr">
        <is>
          <t>Max counterweight (passive safety)</t>
        </is>
      </c>
      <c r="B11" s="28">
        <f>Inputs!B62*Inputs!B60*9.81</f>
        <v/>
      </c>
      <c r="C11" t="inlineStr">
        <is>
          <t>N</t>
        </is>
      </c>
      <c r="D11" s="26" t="inlineStr">
        <is>
          <t>0.9 x EMPTY weight -&gt; drained table can NEVER self-lift into the torch</t>
        </is>
      </c>
    </row>
    <row r="12">
      <c r="A12" s="2" t="inlineStr">
        <is>
          <t>Counterweight mass</t>
        </is>
      </c>
      <c r="B12" s="28">
        <f>B11/9.81</f>
        <v/>
      </c>
      <c r="C12" t="inlineStr">
        <is>
          <t>kg</t>
        </is>
      </c>
      <c r="D12" s="26" t="inlineStr">
        <is>
          <t>hang on the opposite rope</t>
        </is>
      </c>
    </row>
    <row r="13">
      <c r="A13" s="2" t="inlineStr">
        <is>
          <t>Residual manual force (table FULL)</t>
        </is>
      </c>
      <c r="B13" s="28">
        <f>(B9-B11)/Inputs!B61</f>
        <v/>
      </c>
      <c r="C13" t="inlineStr">
        <is>
          <t>N</t>
        </is>
      </c>
      <c r="D13" s="26" t="inlineStr">
        <is>
          <t>(full - CW) / MA — what the operator feels</t>
        </is>
      </c>
    </row>
    <row r="14">
      <c r="A14" s="2" t="inlineStr">
        <is>
          <t xml:space="preserve">  = lifting equivalent</t>
        </is>
      </c>
      <c r="B14" s="28">
        <f>B13/9.81</f>
        <v/>
      </c>
      <c r="C14" t="inlineStr">
        <is>
          <t>kg</t>
        </is>
      </c>
      <c r="D14" s="26" t="inlineStr">
        <is>
          <t>should feel ~&lt;100 kg for one person</t>
        </is>
      </c>
    </row>
    <row r="15">
      <c r="A15" s="2" t="inlineStr">
        <is>
          <t>Manual force (table EMPTY, lowering)</t>
        </is>
      </c>
      <c r="B15" s="28">
        <f>B11/Inputs!B61</f>
        <v/>
      </c>
      <c r="C15" t="inlineStr">
        <is>
          <t>N</t>
        </is>
      </c>
      <c r="D15" s="26" t="inlineStr">
        <is>
          <t>CW alone drives lowering of empty bed — keep small, controlled</t>
        </is>
      </c>
    </row>
    <row r="16">
      <c r="A16" s="27" t="inlineStr">
        <is>
          <t>--- SAFETY VERDICTS ---</t>
        </is>
      </c>
    </row>
    <row r="17">
      <c r="A17" s="2" t="inlineStr">
        <is>
          <t>PASS: CW &lt; empty weight (no self-lift when drained)</t>
        </is>
      </c>
      <c r="B17" s="28">
        <f>IF(B11&lt;B8,"PASS","FAIL")</f>
        <v/>
      </c>
      <c r="D17" s="26" t="inlineStr">
        <is>
          <t>the 'bed crashing into workpiece if empty of water' protection — passive, no power/brake</t>
        </is>
      </c>
    </row>
    <row r="18">
      <c r="A18" s="2" t="inlineStr">
        <is>
          <t>PASS: manual force (full) &lt;= 1000 N</t>
        </is>
      </c>
      <c r="B18" s="28">
        <f>IF(B13&lt;=1000,"PASS","FAIL")</f>
        <v/>
      </c>
      <c r="D18" s="26" t="inlineStr">
        <is>
          <t>raise stays one-person workable; else increase MA or CW</t>
        </is>
      </c>
    </row>
    <row r="19">
      <c r="A19" s="2" t="inlineStr">
        <is>
          <t>Cable working load per rope part</t>
        </is>
      </c>
      <c r="B19" s="28">
        <f>B9/Inputs!B61</f>
        <v/>
      </c>
      <c r="C19" t="inlineStr">
        <is>
          <t>N</t>
        </is>
      </c>
      <c r="D19" s="26" t="inlineStr">
        <is>
          <t>full weight shared over MA rope parts (CW unloads the rest)</t>
        </is>
      </c>
    </row>
    <row r="20">
      <c r="A20" s="2" t="inlineStr">
        <is>
          <t>PASS: cable safety factor &gt;= 10</t>
        </is>
      </c>
      <c r="B20" s="28">
        <f>IF(Inputs!B66/B19&gt;=10,"PASS","FAIL")</f>
        <v/>
      </c>
      <c r="D20" s="26" t="inlineStr">
        <is>
          <t>breaking / working</t>
        </is>
      </c>
    </row>
    <row r="21">
      <c r="A21" s="2" t="inlineStr">
        <is>
          <t>PASS: pin safety factor &gt;= 5</t>
        </is>
      </c>
      <c r="B21" s="28">
        <f>IF(Inputs!B67*2/B9&gt;=5,"PASS","FAIL")</f>
        <v/>
      </c>
      <c r="D21" s="26" t="inlineStr">
        <is>
          <t>2 x pin shear vs full weight — pins hold every set position</t>
        </is>
      </c>
    </row>
    <row r="22">
      <c r="A22" s="27" t="inlineStr">
        <is>
          <t>--- FILL / DRAIN ---</t>
        </is>
      </c>
    </row>
    <row r="23">
      <c r="A23" s="2" t="inlineStr">
        <is>
          <t>Fill time</t>
        </is>
      </c>
      <c r="B23" s="28">
        <f>B5*1000/Inputs!B63</f>
        <v/>
      </c>
      <c r="C23" t="inlineStr">
        <is>
          <t>min</t>
        </is>
      </c>
      <c r="D23" s="26" t="inlineStr">
        <is>
          <t>volume / pump flow (basic pump)</t>
        </is>
      </c>
    </row>
    <row r="24">
      <c r="A24" s="2" t="inlineStr">
        <is>
          <t>Drain</t>
        </is>
      </c>
      <c r="B24" t="inlineStr">
        <is>
          <t>gravity + sump</t>
        </is>
      </c>
      <c r="D24" s="26" t="inlineStr">
        <is>
          <t>drain hose to floor drain; optional drain pump for moving</t>
        </is>
      </c>
    </row>
    <row r="25">
      <c r="A25" s="27" t="inlineStr">
        <is>
          <t>--- MECHANICAL DESIGN (notes from user 2026-10-21) ---</t>
        </is>
      </c>
    </row>
    <row r="26">
      <c r="A26" s="2" t="inlineStr">
        <is>
          <t>Guides</t>
        </is>
      </c>
      <c r="B26" t="inlineStr">
        <is>
          <t>telescoping square tube: smaller tube inside main column, bearings guide it</t>
        </is>
      </c>
      <c r="D26" s="26" t="inlineStr"/>
    </row>
    <row r="27">
      <c r="A27" s="2" t="inlineStr">
        <is>
          <t>Lift</t>
        </is>
      </c>
      <c r="B27" t="inlineStr">
        <is>
          <t>pulley + steel cable + counterweight (assist, not full lift)</t>
        </is>
      </c>
      <c r="D27" s="26" t="inlineStr"/>
    </row>
    <row r="28">
      <c r="A28" s="2" t="inlineStr">
        <is>
          <t>Positioning</t>
        </is>
      </c>
      <c r="B28" t="inlineStr">
        <is>
          <t>pins fix the table at set heights; cable can slack off — no power/brake at rest</t>
        </is>
      </c>
      <c r="D28" s="26" t="inlineStr"/>
    </row>
    <row r="29">
      <c r="A29" s="2" t="inlineStr">
        <is>
          <t>Safety</t>
        </is>
      </c>
      <c r="B29" t="inlineStr">
        <is>
          <t>CW limit + mechanical detents: drained bed can only rest at pinned heights, can't self-lift</t>
        </is>
      </c>
      <c r="D29" s="26" t="inlineStr"/>
    </row>
    <row r="30">
      <c r="A30" s="2" t="inlineStr">
        <is>
          <t>Axes</t>
        </is>
      </c>
      <c r="B30" t="inlineStr">
        <is>
          <t>X/Y fixed to table — whole table raises; plasma head keeps its own LARGE Z travel</t>
        </is>
      </c>
      <c r="D30" s="26" t="inlineStr"/>
    </row>
    <row r="31">
      <c r="A31" s="27" t="inlineStr">
        <is>
          <t>OPERATING POLICY (2026-10-21)</t>
        </is>
      </c>
    </row>
    <row r="32">
      <c r="A32" t="inlineStr">
        <is>
          <t>Drain BEFORE raising</t>
        </is>
      </c>
      <c r="B32" s="26" t="inlineStr">
        <is>
          <t>full table only LOWERS (CW-assisted); drained table is light and easy to raise</t>
        </is>
      </c>
    </row>
    <row r="33">
      <c r="A33" t="inlineStr">
        <is>
          <t>One-off job shop</t>
        </is>
      </c>
      <c r="B33" s="26" t="inlineStr">
        <is>
          <t>not a production machine — manual fixturing per process; manual tool change for now, ATC possible later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2026-10-21T18:20:00Z</dcterms:created>
  <dcterms:modified xsi:type="dcterms:W3CDTF">2026-10-23T13:41:08Z</dcterms:modified>
</cp:coreProperties>
</file>